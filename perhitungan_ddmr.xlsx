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gukuran" sheetId="1" state="visible" r:id="rId1"/>
    <sheet name="Perhitungan DDMR" sheetId="2" state="visible" r:id="rId2"/>
    <sheet name="Karakterisasi Mo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1" t="inlineStr">
        <is>
          <t>Data Pengukuran Fisik Robot SABITA</t>
        </is>
      </c>
    </row>
    <row r="2">
      <c r="A2" s="2" t="inlineStr">
        <is>
          <t>Diukur langsung di lab (stopwatch)</t>
        </is>
      </c>
    </row>
    <row r="4">
      <c r="A4" s="3" t="inlineStr">
        <is>
          <t>Pengujian Putar 180 derajat</t>
        </is>
      </c>
    </row>
    <row r="5">
      <c r="A5" s="4" t="inlineStr">
        <is>
          <t>Percobaan</t>
        </is>
      </c>
      <c r="B5" s="4" t="inlineStr">
        <is>
          <t>Waktu (detik)</t>
        </is>
      </c>
    </row>
    <row r="6">
      <c r="A6" t="inlineStr">
        <is>
          <t>Percobaan 1</t>
        </is>
      </c>
      <c r="B6" t="n">
        <v>15.85</v>
      </c>
    </row>
    <row r="7">
      <c r="A7" t="inlineStr">
        <is>
          <t>Percobaan 2</t>
        </is>
      </c>
      <c r="B7" t="n">
        <v>14.5</v>
      </c>
    </row>
    <row r="8">
      <c r="A8" t="inlineStr">
        <is>
          <t>Percobaan 3</t>
        </is>
      </c>
      <c r="B8" t="n">
        <v>14.98</v>
      </c>
    </row>
    <row r="9">
      <c r="A9" s="3" t="inlineStr">
        <is>
          <t>Rata-rata</t>
        </is>
      </c>
      <c r="B9" s="3">
        <f>AVERAGE(B6:B8)</f>
        <v/>
      </c>
    </row>
    <row r="11">
      <c r="A11" s="3" t="inlineStr">
        <is>
          <t>Pengujian Putar 360 derajat</t>
        </is>
      </c>
    </row>
    <row r="12">
      <c r="A12" s="4" t="inlineStr">
        <is>
          <t>Percobaan</t>
        </is>
      </c>
      <c r="B12" s="4" t="inlineStr">
        <is>
          <t>Waktu (detik)</t>
        </is>
      </c>
    </row>
    <row r="13">
      <c r="A13" t="inlineStr">
        <is>
          <t>Percobaan 1</t>
        </is>
      </c>
      <c r="B13" t="n">
        <v>26.64</v>
      </c>
    </row>
    <row r="14">
      <c r="A14" t="inlineStr">
        <is>
          <t>Percobaan 2</t>
        </is>
      </c>
      <c r="B14" t="n">
        <v>27.27</v>
      </c>
    </row>
    <row r="15">
      <c r="A15" t="inlineStr">
        <is>
          <t>Percobaan 3</t>
        </is>
      </c>
      <c r="B15" t="n">
        <v>26.25</v>
      </c>
    </row>
    <row r="16">
      <c r="A16" s="3" t="inlineStr">
        <is>
          <t>Rata-rata</t>
        </is>
      </c>
      <c r="B16" s="3">
        <f>AVERAGE(B13:B15)</f>
        <v/>
      </c>
    </row>
    <row r="18">
      <c r="A18" s="3" t="inlineStr">
        <is>
          <t>Pengujian Berjalan 1 meter</t>
        </is>
      </c>
    </row>
    <row r="19">
      <c r="A19" s="4" t="inlineStr">
        <is>
          <t>Percobaan</t>
        </is>
      </c>
      <c r="B19" s="4" t="inlineStr">
        <is>
          <t>Waktu (detik)</t>
        </is>
      </c>
    </row>
    <row r="20">
      <c r="A20" t="inlineStr">
        <is>
          <t>Percobaan 1</t>
        </is>
      </c>
      <c r="B20" t="n">
        <v>16.93</v>
      </c>
    </row>
    <row r="21">
      <c r="A21" t="inlineStr">
        <is>
          <t>Percobaan 2</t>
        </is>
      </c>
      <c r="B21" t="n">
        <v>18.1</v>
      </c>
    </row>
    <row r="22">
      <c r="A22" t="inlineStr">
        <is>
          <t>Percobaan 3</t>
        </is>
      </c>
      <c r="B22" t="n">
        <v>19.67</v>
      </c>
    </row>
    <row r="23">
      <c r="A23" s="3" t="inlineStr">
        <is>
          <t>Rata-rata</t>
        </is>
      </c>
      <c r="B23" s="3">
        <f>AVERAGE(B20:B22)</f>
        <v/>
      </c>
    </row>
    <row r="25">
      <c r="A25" s="3" t="inlineStr">
        <is>
          <t>Jarak antar roda (L)</t>
        </is>
      </c>
      <c r="B25" t="n">
        <v>41</v>
      </c>
      <c r="C25" t="inlineStr">
        <is>
          <t>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46" customWidth="1" min="4" max="4"/>
  </cols>
  <sheetData>
    <row r="1">
      <c r="A1" s="1" t="inlineStr">
        <is>
          <t>Perhitungan DDMR (Differential Drive Mobile Robot)</t>
        </is>
      </c>
    </row>
    <row r="2">
      <c r="A2" s="2" t="inlineStr">
        <is>
          <t>Rumus: v = 1m / t_1m ; omega = 2v/L ; t180_teori = pi*L/(2v)</t>
        </is>
      </c>
    </row>
    <row r="3">
      <c r="A3" s="4" t="inlineStr">
        <is>
          <t>Parameter</t>
        </is>
      </c>
      <c r="B3" s="4" t="inlineStr">
        <is>
          <t>Nilai</t>
        </is>
      </c>
      <c r="C3" s="4" t="inlineStr">
        <is>
          <t>Satuan</t>
        </is>
      </c>
      <c r="D3" s="4" t="inlineStr">
        <is>
          <t>Keterangan</t>
        </is>
      </c>
    </row>
    <row r="4">
      <c r="A4" s="5" t="inlineStr">
        <is>
          <t>Waktu tempuh 1 meter (rata-rata)</t>
        </is>
      </c>
      <c r="B4" s="6">
        <f>'Data Pengukuran'!B23</f>
        <v/>
      </c>
      <c r="C4" s="6" t="inlineStr">
        <is>
          <t>detik</t>
        </is>
      </c>
      <c r="D4" s="6" t="inlineStr">
        <is>
          <t>hasil ukur langsung</t>
        </is>
      </c>
    </row>
    <row r="5">
      <c r="A5" s="5" t="inlineStr">
        <is>
          <t>Kecepatan linear v (PWM=70)</t>
        </is>
      </c>
      <c r="B5" s="6">
        <f>1/B4</f>
        <v/>
      </c>
      <c r="C5" s="6" t="inlineStr">
        <is>
          <t>m/s</t>
        </is>
      </c>
      <c r="D5" s="6" t="inlineStr">
        <is>
          <t>v = jarak / waktu</t>
        </is>
      </c>
    </row>
    <row r="6">
      <c r="A6" s="5" t="inlineStr">
        <is>
          <t>Jarak antar roda (L)</t>
        </is>
      </c>
      <c r="B6" s="6">
        <f>'Data Pengukuran'!B25/100</f>
        <v/>
      </c>
      <c r="C6" s="6" t="inlineStr">
        <is>
          <t>meter</t>
        </is>
      </c>
      <c r="D6" s="6" t="inlineStr">
        <is>
          <t>dikonversi dari cm</t>
        </is>
      </c>
    </row>
    <row r="7">
      <c r="A7" s="5" t="inlineStr">
        <is>
          <t>Kecepatan sudut omega (DDMR)</t>
        </is>
      </c>
      <c r="B7" s="6">
        <f>2*B5/B6</f>
        <v/>
      </c>
      <c r="C7" s="6" t="inlineStr">
        <is>
          <t>rad/s</t>
        </is>
      </c>
      <c r="D7" s="6" t="inlineStr">
        <is>
          <t>omega = 2v/L</t>
        </is>
      </c>
    </row>
    <row r="8">
      <c r="A8" s="5" t="inlineStr">
        <is>
          <t>Prediksi waktu putar 180 derajat (DDMR)</t>
        </is>
      </c>
      <c r="B8" s="6">
        <f>PI()*B6/(2*B5)</f>
        <v/>
      </c>
      <c r="C8" s="6" t="inlineStr">
        <is>
          <t>detik</t>
        </is>
      </c>
      <c r="D8" s="6" t="inlineStr">
        <is>
          <t>t180 = pi*L/(2v), idealized (no slip)</t>
        </is>
      </c>
    </row>
    <row r="9">
      <c r="A9" s="5" t="inlineStr">
        <is>
          <t>Waktu putar 180 derajat (hasil ukur langsung)</t>
        </is>
      </c>
      <c r="B9" s="6">
        <f>'Data Pengukuran'!B9</f>
        <v/>
      </c>
      <c r="C9" s="6" t="inlineStr">
        <is>
          <t>detik</t>
        </is>
      </c>
      <c r="D9" s="6" t="inlineStr">
        <is>
          <t>dipakai sbg TURN_AROUND_MS</t>
        </is>
      </c>
    </row>
    <row r="10">
      <c r="A10" s="5" t="inlineStr">
        <is>
          <t>Waktu putar 360 derajat / 2 (hasil ukur langsung)</t>
        </is>
      </c>
      <c r="B10" s="6">
        <f>'Data Pengukuran'!B16/2</f>
        <v/>
      </c>
      <c r="C10" s="6" t="inlineStr">
        <is>
          <t>detik</t>
        </is>
      </c>
      <c r="D10" s="6" t="inlineStr">
        <is>
          <t>cross-check independen</t>
        </is>
      </c>
    </row>
    <row r="11">
      <c r="A11" s="5" t="inlineStr">
        <is>
          <t>Selisih ukur langsung vs prediksi DDMR</t>
        </is>
      </c>
      <c r="B11" s="6">
        <f>B9-B8</f>
        <v/>
      </c>
      <c r="C11" s="6" t="inlineStr">
        <is>
          <t>detik</t>
        </is>
      </c>
      <c r="D11" s="6" t="inlineStr">
        <is>
          <t>efek skid/selip roda (bukan omni-wheel)</t>
        </is>
      </c>
    </row>
    <row r="12">
      <c r="A12" s="5" t="inlineStr">
        <is>
          <t>Kecepatan maksimum v_max (PWM=255)</t>
        </is>
      </c>
      <c r="B12" s="6">
        <f>B5*255/70</f>
        <v/>
      </c>
      <c r="C12" s="6" t="inlineStr">
        <is>
          <t>m/s</t>
        </is>
      </c>
      <c r="D12" s="6" t="inlineStr">
        <is>
          <t>ekstrapolasi linear dari v @ PWM=70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</cols>
  <sheetData>
    <row r="1">
      <c r="A1" s="1" t="inlineStr">
        <is>
          <t>Karakterisasi Motor DC Gearbox 24V</t>
        </is>
      </c>
    </row>
    <row r="2">
      <c r="A2" s="2" t="inlineStr">
        <is>
          <t>Perbandingan v_max hasil ukur vs v_max teoritis tiap varian RPM (asumsi diameter roda 65mm)</t>
        </is>
      </c>
    </row>
    <row r="4">
      <c r="A4" s="4" t="inlineStr">
        <is>
          <t>Varian RPM</t>
        </is>
      </c>
      <c r="B4" s="4" t="inlineStr">
        <is>
          <t>Reduksi Gearbox</t>
        </is>
      </c>
      <c r="C4" s="4" t="inlineStr">
        <is>
          <t>v_max teoritis (m/s)</t>
        </is>
      </c>
      <c r="D4" s="4" t="inlineStr">
        <is>
          <t>Selisih thd v_max terukur (m/s)</t>
        </is>
      </c>
    </row>
    <row r="5">
      <c r="A5" s="6" t="inlineStr">
        <is>
          <t>43 RPM</t>
        </is>
      </c>
      <c r="B5" s="6" t="inlineStr">
        <is>
          <t>139:1</t>
        </is>
      </c>
      <c r="C5" s="6" t="n">
        <v>0.1463</v>
      </c>
      <c r="D5" s="6">
        <f>ABS(C5-'Perhitungan DDMR'!B12)</f>
        <v/>
      </c>
    </row>
    <row r="6">
      <c r="A6" s="6" t="inlineStr">
        <is>
          <t>120 RPM</t>
        </is>
      </c>
      <c r="B6" s="6" t="inlineStr">
        <is>
          <t>50:1</t>
        </is>
      </c>
      <c r="C6" s="6" t="n">
        <v>0.4084</v>
      </c>
      <c r="D6" s="6">
        <f>ABS(C6-'Perhitungan DDMR'!B12)</f>
        <v/>
      </c>
    </row>
    <row r="7">
      <c r="A7" s="6" t="inlineStr">
        <is>
          <t>222 RPM</t>
        </is>
      </c>
      <c r="B7" s="6" t="inlineStr">
        <is>
          <t>27:1</t>
        </is>
      </c>
      <c r="C7" s="6" t="n">
        <v>0.7556</v>
      </c>
      <c r="D7" s="6">
        <f>ABS(C7-'Perhitungan DDMR'!B12)</f>
        <v/>
      </c>
    </row>
    <row r="8">
      <c r="A8" s="6" t="inlineStr">
        <is>
          <t>462 RPM</t>
        </is>
      </c>
      <c r="B8" s="6" t="inlineStr">
        <is>
          <t>13:1</t>
        </is>
      </c>
      <c r="C8" s="6" t="n">
        <v>1.5724</v>
      </c>
      <c r="D8" s="6">
        <f>ABS(C8-'Perhitungan DDMR'!B12)</f>
        <v/>
      </c>
    </row>
    <row r="10">
      <c r="A10" s="2" t="inlineStr">
        <is>
          <t>Catatan: varian dengan selisih terkecil paling mendekati kondisi motor terpasang.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2026-09-14T20:05:00Z</dcterms:created>
  <dcterms:modified xsi:type="dcterms:W3CDTF">2026-09-14T20:05:00Z</dcterms:modified>
</cp:coreProperties>
</file>